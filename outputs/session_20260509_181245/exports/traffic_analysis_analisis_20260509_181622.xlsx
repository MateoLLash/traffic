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s Totales" sheetId="2" state="visible" r:id="rId2"/>
    <sheet name="Conteos por Línea" sheetId="3" state="visible" r:id="rId3"/>
    <sheet name="Detalle de Cruces" sheetId="4" state="visible" r:id="rId4"/>
    <sheet name="Series Temporales" sheetId="5" state="visible" r:id="rId5"/>
    <sheet name="Estadísticas Direc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>
        <f>== INFORMACIÓN DEL VIDEO ===</f>
        <v/>
      </c>
    </row>
    <row r="3">
      <c r="A3" t="inlineStr">
        <is>
          <t>Resolución</t>
        </is>
      </c>
      <c r="B3" t="inlineStr">
        <is>
          <t>640x360</t>
        </is>
      </c>
    </row>
    <row r="4">
      <c r="A4" t="inlineStr">
        <is>
          <t>FPS</t>
        </is>
      </c>
      <c r="B4" t="inlineStr">
        <is>
          <t>25.00</t>
        </is>
      </c>
    </row>
    <row r="5">
      <c r="A5" t="inlineStr">
        <is>
          <t>Duración (segundos)</t>
        </is>
      </c>
      <c r="B5" t="n">
        <v>20</v>
      </c>
    </row>
    <row r="6">
      <c r="A6" t="inlineStr">
        <is>
          <t>Total de Frames</t>
        </is>
      </c>
      <c r="B6" t="n">
        <v>501</v>
      </c>
    </row>
    <row r="7"/>
    <row r="8">
      <c r="A8">
        <f>== ESTADÍSTICAS GENERALES ===</f>
        <v/>
      </c>
    </row>
    <row r="9">
      <c r="A9" t="inlineStr">
        <is>
          <t>Total de Cruces Detectados</t>
        </is>
      </c>
      <c r="B9" t="n">
        <v>5</v>
      </c>
    </row>
    <row r="10">
      <c r="A10" t="inlineStr">
        <is>
          <t>Número de Líneas de Conteo</t>
        </is>
      </c>
      <c r="B10" t="n">
        <v>1</v>
      </c>
    </row>
    <row r="11">
      <c r="A11" t="inlineStr">
        <is>
          <t>Tiempo Analizado (seg)</t>
        </is>
      </c>
      <c r="B11" t="inlineStr">
        <is>
          <t>20.04</t>
        </is>
      </c>
    </row>
    <row r="12">
      <c r="A12" t="inlineStr">
        <is>
          <t>Tiempo Analizado (min)</t>
        </is>
      </c>
      <c r="B12" t="inlineStr">
        <is>
          <t>0.33</t>
        </is>
      </c>
    </row>
    <row r="13"/>
    <row r="14">
      <c r="A14">
        <f>== CONTEOS POR CATEGORÍA ===</f>
        <v/>
      </c>
    </row>
    <row r="15">
      <c r="A15" t="inlineStr">
        <is>
          <t>Auto</t>
        </is>
      </c>
      <c r="B15" t="n">
        <v>4</v>
      </c>
    </row>
    <row r="16">
      <c r="A16" t="inlineStr">
        <is>
          <t>Peatón</t>
        </is>
      </c>
      <c r="B16" t="n">
        <v>1</v>
      </c>
    </row>
    <row r="17"/>
    <row r="18">
      <c r="A18">
        <f>== PROMEDIOS POR MINUTO ===</f>
        <v/>
      </c>
    </row>
    <row r="19">
      <c r="A19" t="inlineStr">
        <is>
          <t>Auto (prom/min)</t>
        </is>
      </c>
      <c r="B19" t="inlineStr">
        <is>
          <t>11.98</t>
        </is>
      </c>
    </row>
    <row r="20">
      <c r="A20" t="inlineStr">
        <is>
          <t>Peatón (prom/min)</t>
        </is>
      </c>
      <c r="B20" t="inlineStr">
        <is>
          <t>2.99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</cols>
  <sheetData>
    <row r="1">
      <c r="A1" s="2" t="inlineStr">
        <is>
          <t>Categoría</t>
        </is>
      </c>
      <c r="B1" s="2" t="inlineStr">
        <is>
          <t>Conteo Total</t>
        </is>
      </c>
      <c r="C1" s="2" t="inlineStr">
        <is>
          <t>Porcentaje (%)</t>
        </is>
      </c>
    </row>
    <row r="2">
      <c r="A2" t="inlineStr">
        <is>
          <t>Auto</t>
        </is>
      </c>
      <c r="B2" t="n">
        <v>4</v>
      </c>
      <c r="C2" t="inlineStr">
        <is>
          <t>80.0</t>
        </is>
      </c>
    </row>
    <row r="3">
      <c r="A3" t="inlineStr">
        <is>
          <t>Peatón</t>
        </is>
      </c>
      <c r="B3" t="n">
        <v>1</v>
      </c>
      <c r="C3" t="inlineStr">
        <is>
          <t>20.0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6" customWidth="1" min="4" max="4"/>
    <col width="16" customWidth="1" min="5" max="5"/>
    <col width="21" customWidth="1" min="6" max="6"/>
    <col width="21" customWidth="1" min="7" max="7"/>
  </cols>
  <sheetData>
    <row r="1">
      <c r="A1" s="2" t="inlineStr">
        <is>
          <t>Línea</t>
        </is>
      </c>
      <c r="B1" s="2" t="inlineStr">
        <is>
          <t>Categoría</t>
        </is>
      </c>
      <c r="C1" s="2" t="inlineStr">
        <is>
          <t>Total</t>
        </is>
      </c>
      <c r="D1" s="2" t="inlineStr">
        <is>
          <t>Arriba → Abajo</t>
        </is>
      </c>
      <c r="E1" s="2" t="inlineStr">
        <is>
          <t>Abajo → Arriba</t>
        </is>
      </c>
      <c r="F1" s="2" t="inlineStr">
        <is>
          <t>Izquierda → Derecha</t>
        </is>
      </c>
      <c r="G1" s="2" t="inlineStr">
        <is>
          <t>Derecha → Izquierda</t>
        </is>
      </c>
    </row>
    <row r="2">
      <c r="A2" t="inlineStr">
        <is>
          <t>Línea 1</t>
        </is>
      </c>
      <c r="B2" t="inlineStr">
        <is>
          <t>Auto</t>
        </is>
      </c>
      <c r="C2" t="n">
        <v>4</v>
      </c>
      <c r="D2" t="n">
        <v>3</v>
      </c>
      <c r="E2" t="n">
        <v>1</v>
      </c>
      <c r="F2" t="n">
        <v>0</v>
      </c>
      <c r="G2" t="n">
        <v>0</v>
      </c>
    </row>
    <row r="3">
      <c r="A3" t="inlineStr">
        <is>
          <t>Línea 1</t>
        </is>
      </c>
      <c r="B3" t="inlineStr">
        <is>
          <t>Peatón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9" customWidth="1" min="5" max="5"/>
    <col width="16" customWidth="1" min="6" max="6"/>
    <col width="12" customWidth="1" min="7" max="7"/>
    <col width="12" customWidth="1" min="8" max="8"/>
  </cols>
  <sheetData>
    <row r="1">
      <c r="A1" s="2" t="inlineStr">
        <is>
          <t>Timestamp (seg)</t>
        </is>
      </c>
      <c r="B1" s="2" t="inlineStr">
        <is>
          <t>Timestamp</t>
        </is>
      </c>
      <c r="C1" s="2" t="inlineStr">
        <is>
          <t>Track ID</t>
        </is>
      </c>
      <c r="D1" s="2" t="inlineStr">
        <is>
          <t>Categoría</t>
        </is>
      </c>
      <c r="E1" s="2" t="inlineStr">
        <is>
          <t>Línea</t>
        </is>
      </c>
      <c r="F1" s="2" t="inlineStr">
        <is>
          <t>Dirección</t>
        </is>
      </c>
      <c r="G1" s="2" t="inlineStr">
        <is>
          <t>Posición X</t>
        </is>
      </c>
      <c r="H1" s="2" t="inlineStr">
        <is>
          <t>Posición Y</t>
        </is>
      </c>
    </row>
    <row r="2">
      <c r="A2" t="inlineStr">
        <is>
          <t>2.08</t>
        </is>
      </c>
      <c r="B2" t="inlineStr">
        <is>
          <t>00:00:02</t>
        </is>
      </c>
      <c r="C2" t="n">
        <v>4</v>
      </c>
      <c r="D2" t="inlineStr">
        <is>
          <t>Auto</t>
        </is>
      </c>
      <c r="E2" t="inlineStr">
        <is>
          <t>Línea 1</t>
        </is>
      </c>
      <c r="F2" t="inlineStr">
        <is>
          <t>Arriba → Abajo</t>
        </is>
      </c>
      <c r="G2" t="n">
        <v>172</v>
      </c>
      <c r="H2" t="n">
        <v>301</v>
      </c>
    </row>
    <row r="3">
      <c r="A3" t="inlineStr">
        <is>
          <t>2.36</t>
        </is>
      </c>
      <c r="B3" t="inlineStr">
        <is>
          <t>00:00:02</t>
        </is>
      </c>
      <c r="C3" t="n">
        <v>3</v>
      </c>
      <c r="D3" t="inlineStr">
        <is>
          <t>Auto</t>
        </is>
      </c>
      <c r="E3" t="inlineStr">
        <is>
          <t>Línea 1</t>
        </is>
      </c>
      <c r="F3" t="inlineStr">
        <is>
          <t>Arriba → Abajo</t>
        </is>
      </c>
      <c r="G3" t="n">
        <v>249</v>
      </c>
      <c r="H3" t="n">
        <v>301</v>
      </c>
    </row>
    <row r="4">
      <c r="A4" t="inlineStr">
        <is>
          <t>2.68</t>
        </is>
      </c>
      <c r="B4" t="inlineStr">
        <is>
          <t>00:00:02</t>
        </is>
      </c>
      <c r="C4" t="n">
        <v>9</v>
      </c>
      <c r="D4" t="inlineStr">
        <is>
          <t>Auto</t>
        </is>
      </c>
      <c r="E4" t="inlineStr">
        <is>
          <t>Línea 1</t>
        </is>
      </c>
      <c r="F4" t="inlineStr">
        <is>
          <t>Abajo → Arriba</t>
        </is>
      </c>
      <c r="G4" t="n">
        <v>160</v>
      </c>
      <c r="H4" t="n">
        <v>290</v>
      </c>
    </row>
    <row r="5">
      <c r="A5" t="inlineStr">
        <is>
          <t>4.72</t>
        </is>
      </c>
      <c r="B5" t="inlineStr">
        <is>
          <t>00:00:04</t>
        </is>
      </c>
      <c r="C5" t="n">
        <v>2</v>
      </c>
      <c r="D5" t="inlineStr">
        <is>
          <t>Auto</t>
        </is>
      </c>
      <c r="E5" t="inlineStr">
        <is>
          <t>Línea 1</t>
        </is>
      </c>
      <c r="F5" t="inlineStr">
        <is>
          <t>Arriba → Abajo</t>
        </is>
      </c>
      <c r="G5" t="n">
        <v>247</v>
      </c>
      <c r="H5" t="n">
        <v>301</v>
      </c>
    </row>
    <row r="6">
      <c r="A6" t="inlineStr">
        <is>
          <t>18.44</t>
        </is>
      </c>
      <c r="B6" t="inlineStr">
        <is>
          <t>00:00:18</t>
        </is>
      </c>
      <c r="C6" t="n">
        <v>128</v>
      </c>
      <c r="D6" t="inlineStr">
        <is>
          <t>Peatón</t>
        </is>
      </c>
      <c r="E6" t="inlineStr">
        <is>
          <t>Línea 1</t>
        </is>
      </c>
      <c r="F6" t="inlineStr">
        <is>
          <t>Arriba → Abajo</t>
        </is>
      </c>
      <c r="G6" t="n">
        <v>102</v>
      </c>
      <c r="H6" t="n">
        <v>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6" customWidth="1" min="4" max="4"/>
  </cols>
  <sheetData>
    <row r="1">
      <c r="A1" s="2" t="inlineStr">
        <is>
          <t>Intervalo</t>
        </is>
      </c>
      <c r="B1" s="2" t="inlineStr">
        <is>
          <t>Timestamp (seg)</t>
        </is>
      </c>
      <c r="C1" s="2" t="inlineStr">
        <is>
          <t>Peatón</t>
        </is>
      </c>
      <c r="D1" s="2" t="inlineStr">
        <is>
          <t>Auto</t>
        </is>
      </c>
    </row>
    <row r="2">
      <c r="A2" t="n">
        <v>0</v>
      </c>
      <c r="B2" t="n">
        <v>0</v>
      </c>
      <c r="C2" t="n">
        <v>1</v>
      </c>
      <c r="D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2" t="inlineStr">
        <is>
          <t>Dirección</t>
        </is>
      </c>
      <c r="B1" s="2" t="inlineStr">
        <is>
          <t>Conteo Total</t>
        </is>
      </c>
    </row>
    <row r="2">
      <c r="A2" t="inlineStr">
        <is>
          <t>Arriba → Abajo</t>
        </is>
      </c>
      <c r="B2" t="n">
        <v>4</v>
      </c>
    </row>
    <row r="3">
      <c r="A3" t="inlineStr">
        <is>
          <t>Abajo → Arriba</t>
        </is>
      </c>
      <c r="B3" t="n">
        <v>1</v>
      </c>
    </row>
    <row r="4">
      <c r="A4" t="inlineStr">
        <is>
          <t>Izquierda → Derecha</t>
        </is>
      </c>
      <c r="B4" t="n">
        <v>0</v>
      </c>
    </row>
    <row r="5">
      <c r="A5" t="inlineStr">
        <is>
          <t>Derecha → Izquierda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2026-05-09T23:16:22Z</dcterms:created>
  <dcterms:modified xsi:type="dcterms:W3CDTF">2026-05-09T23:16:22Z</dcterms:modified>
</cp:coreProperties>
</file>